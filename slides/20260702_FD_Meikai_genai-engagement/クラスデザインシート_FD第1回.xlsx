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クラスデザイン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分&quot;"/>
  </numFmts>
  <fonts count="11">
    <font>
      <name val="Calibri"/>
      <family val="2"/>
      <color theme="1"/>
      <sz val="11"/>
      <scheme val="minor"/>
    </font>
    <font>
      <name val="Arial"/>
      <b val="1"/>
      <color rgb="00004D45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FFFFFF"/>
      <sz val="9.5"/>
    </font>
    <font>
      <name val="Arial"/>
      <b val="1"/>
      <color rgb="00004D45"/>
      <sz val="10"/>
    </font>
    <font>
      <name val="Arial"/>
      <b val="1"/>
      <sz val="9.5"/>
    </font>
    <font>
      <name val="Arial"/>
      <sz val="9"/>
    </font>
    <font>
      <name val="Arial"/>
      <sz val="9.5"/>
    </font>
    <font>
      <name val="Arial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E3F1EF"/>
      </patternFill>
    </fill>
    <fill>
      <patternFill patternType="solid">
        <fgColor rgb="0000736B"/>
      </patternFill>
    </fill>
    <fill>
      <patternFill patternType="solid">
        <fgColor rgb="00004D45"/>
      </patternFill>
    </fill>
    <fill>
      <patternFill patternType="solid">
        <fgColor rgb="00D9EBE8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top" wrapText="1"/>
    </xf>
    <xf numFmtId="20" fontId="6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2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5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9" customWidth="1" min="2" max="2"/>
    <col width="8" customWidth="1" min="3" max="3"/>
    <col width="13" customWidth="1" min="4" max="4"/>
    <col width="9" customWidth="1" min="5" max="5"/>
    <col width="7" customWidth="1" min="6" max="6"/>
    <col width="15" customWidth="1" min="7" max="7"/>
    <col width="70" customWidth="1" min="8" max="8"/>
    <col width="24" customWidth="1" min="9" max="9"/>
  </cols>
  <sheetData>
    <row r="2">
      <c r="B2" s="1" t="inlineStr">
        <is>
          <t>クラスデザインシート</t>
        </is>
      </c>
    </row>
    <row r="3">
      <c r="B3" s="2" t="inlineStr">
        <is>
          <t>設計担当</t>
        </is>
      </c>
      <c r="C3" s="3" t="inlineStr">
        <is>
          <t>田川 翔（千葉大学 国際未来教育基幹）</t>
        </is>
      </c>
      <c r="D3" s="4" t="n"/>
      <c r="E3" s="5" t="n"/>
      <c r="H3" s="3" t="inlineStr">
        <is>
          <t>分類：FD研修（高等教育・生成AI）</t>
        </is>
      </c>
    </row>
    <row r="5">
      <c r="B5" s="6" t="inlineStr">
        <is>
          <t>研修のタイトル（トピック，テーマ）</t>
        </is>
      </c>
      <c r="C5" s="4" t="n"/>
      <c r="D5" s="4" t="n"/>
      <c r="E5" s="4" t="n"/>
      <c r="F5" s="4" t="n"/>
      <c r="G5" s="4" t="n"/>
      <c r="H5" s="4" t="n"/>
      <c r="I5" s="5" t="n"/>
    </row>
    <row r="6" ht="28" customHeight="1">
      <c r="B6" s="3" t="inlineStr">
        <is>
          <t>明海大学 不動産学部 FD講習会 第1回「生成AIとの向き合い方」── 学生の学びを守り、教育をもっと面白くするために（2026/7/2（木）13:00–14:30・浦安キャンパス・全78スライド）</t>
        </is>
      </c>
      <c r="C6" s="4" t="n"/>
      <c r="D6" s="4" t="n"/>
      <c r="E6" s="4" t="n"/>
      <c r="F6" s="4" t="n"/>
      <c r="G6" s="4" t="n"/>
      <c r="H6" s="4" t="n"/>
      <c r="I6" s="5" t="n"/>
    </row>
    <row r="8">
      <c r="B8" s="6" t="inlineStr">
        <is>
          <t>この研修の目的</t>
        </is>
      </c>
      <c r="C8" s="4" t="n"/>
      <c r="D8" s="4" t="n"/>
      <c r="E8" s="4" t="n"/>
      <c r="F8" s="4" t="n"/>
      <c r="G8" s="4" t="n"/>
      <c r="H8" s="4" t="n"/>
      <c r="I8" s="5" t="n"/>
    </row>
    <row r="9" ht="28" customHeight="1">
      <c r="B9" s="3" t="inlineStr">
        <is>
          <t>生成AIを「禁止か容認か」の二択ではなく「文脈づくり」の問題として捉え直し、参加教員が (1)学生との関わり方を自分の言葉にし、(2)安全な業務活用の最初の一手を体験し、(3)AI時代の授業・評価設計の原則を持ち帰れるようになる。</t>
        </is>
      </c>
      <c r="C9" s="4" t="n"/>
      <c r="D9" s="4" t="n"/>
      <c r="E9" s="4" t="n"/>
      <c r="F9" s="4" t="n"/>
      <c r="G9" s="4" t="n"/>
      <c r="H9" s="4" t="n"/>
      <c r="I9" s="5" t="n"/>
    </row>
    <row r="11">
      <c r="B11" s="6" t="inlineStr">
        <is>
          <t>この研修の達成目標</t>
        </is>
      </c>
      <c r="C11" s="4" t="n"/>
      <c r="D11" s="4" t="n"/>
      <c r="E11" s="4" t="n"/>
      <c r="F11" s="5" t="n"/>
      <c r="G11" s="6" t="inlineStr">
        <is>
          <t>対応する評価方法</t>
        </is>
      </c>
      <c r="H11" s="4" t="n"/>
      <c r="I11" s="5" t="n"/>
    </row>
    <row r="12" ht="30" customHeight="1">
      <c r="B12" s="3" t="inlineStr">
        <is>
          <t>①自分の授業について、学生に生成AIとどう関わってほしいか（＝文脈）を、理由付きで言葉にできる。</t>
        </is>
      </c>
      <c r="C12" s="4" t="n"/>
      <c r="D12" s="4" t="n"/>
      <c r="E12" s="4" t="n"/>
      <c r="F12" s="5" t="n"/>
      <c r="G12" s="3" t="inlineStr">
        <is>
          <t>・ワーク①（Think-Pair-Share）：シートに「科目名／関わり方／なぜ」を記入
・Slido 1-2, 1-3（自由記述）</t>
        </is>
      </c>
      <c r="H12" s="4" t="n"/>
      <c r="I12" s="5" t="n"/>
    </row>
    <row r="13" ht="30" customHeight="1">
      <c r="B13" s="3" t="inlineStr">
        <is>
          <t>②生成AIの仕組みに由来するリスク（ハルシネーション・バイアス・機密）を、自分の現場に即して説明できる。</t>
        </is>
      </c>
      <c r="C13" s="4" t="n"/>
      <c r="D13" s="4" t="n"/>
      <c r="E13" s="4" t="n"/>
      <c r="F13" s="5" t="n"/>
      <c r="G13" s="3" t="inlineStr">
        <is>
          <t>・Slido 0-1（事前の可能性認識）
・講義中の問いかけへの反応</t>
        </is>
      </c>
      <c r="H13" s="4" t="n"/>
      <c r="I13" s="5" t="n"/>
    </row>
    <row r="14" ht="30" customHeight="1">
      <c r="B14" s="3" t="inlineStr">
        <is>
          <t>③安全なAI（組織版Gemini・NotebookLM）を実際に操作し、自分の業務での「最初の一手」を選べる。</t>
        </is>
      </c>
      <c r="C14" s="4" t="n"/>
      <c r="D14" s="4" t="n"/>
      <c r="E14" s="4" t="n"/>
      <c r="F14" s="5" t="n"/>
      <c r="G14" s="3" t="inlineStr">
        <is>
          <t>・体験ワーク（ハンズオン約8分）
・Slido 2-2（ニーズ）, 2-3（手応え）</t>
        </is>
      </c>
      <c r="H14" s="4" t="n"/>
      <c r="I14" s="5" t="n"/>
    </row>
    <row r="15" ht="30" customHeight="1">
      <c r="B15" s="3" t="inlineStr">
        <is>
          <t>④AI時代の課題・評価設計の原則（目標を守る／評価を広げる／真正な課題）を説明できる。</t>
        </is>
      </c>
      <c r="C15" s="4" t="n"/>
      <c r="D15" s="4" t="n"/>
      <c r="E15" s="4" t="n"/>
      <c r="F15" s="5" t="n"/>
      <c r="G15" s="3" t="inlineStr">
        <is>
          <t>・Slido 3-1（方向性の選択）
・ワーク③（時間があれば。なければ第2回で実施）</t>
        </is>
      </c>
      <c r="H15" s="4" t="n"/>
      <c r="I15" s="5" t="n"/>
    </row>
    <row r="16" ht="30" customHeight="1">
      <c r="B16" s="3" t="inlineStr">
        <is>
          <t>⑤研修後に「まず1つ試す」行動を決められる。</t>
        </is>
      </c>
      <c r="C16" s="4" t="n"/>
      <c r="D16" s="4" t="n"/>
      <c r="E16" s="4" t="n"/>
      <c r="F16" s="5" t="n"/>
      <c r="G16" s="3" t="inlineStr">
        <is>
          <t>・Slido 3-3（可能性の実感：0-2との前後比較）
・第2回ワークショップへの参加</t>
        </is>
      </c>
      <c r="H16" s="4" t="n"/>
      <c r="I16" s="5" t="n"/>
    </row>
    <row r="18">
      <c r="B18" s="6" t="inlineStr">
        <is>
          <t>副次的に達成したいこと</t>
        </is>
      </c>
      <c r="C18" s="4" t="n"/>
      <c r="D18" s="4" t="n"/>
      <c r="E18" s="4" t="n"/>
      <c r="F18" s="5" t="n"/>
      <c r="G18" s="6" t="inlineStr">
        <is>
          <t>対応する実施内容</t>
        </is>
      </c>
      <c r="H18" s="4" t="n"/>
      <c r="I18" s="5" t="n"/>
    </row>
    <row r="19" ht="28" customHeight="1">
      <c r="B19" s="3" t="inlineStr">
        <is>
          <t>◯教員同士が率直に話せる協力的な場になり、AIへの不安が減少する。</t>
        </is>
      </c>
      <c r="C19" s="4" t="n"/>
      <c r="D19" s="4" t="n"/>
      <c r="E19" s="4" t="n"/>
      <c r="F19" s="5" t="n"/>
      <c r="G19" s="3" t="inlineStr">
        <is>
          <t>・グランドルール「3K」（敬意・忌憚なく・建設的）／さん付け
・ペアワーク2回（ワーク①・体験ワーク）</t>
        </is>
      </c>
      <c r="H19" s="4" t="n"/>
      <c r="I19" s="5" t="n"/>
    </row>
    <row r="20" ht="28" customHeight="1">
      <c r="B20" s="3" t="inlineStr">
        <is>
          <t>◯研修効果の測定（前後比較）と第2回以降への接続。</t>
        </is>
      </c>
      <c r="C20" s="4" t="n"/>
      <c r="D20" s="4" t="n"/>
      <c r="E20" s="4" t="n"/>
      <c r="F20" s="5" t="n"/>
      <c r="G20" s="3" t="inlineStr">
        <is>
          <t>・Slido 0-2 ⇔ 3-3 のビフォーアフター比較
・Slido 2-2 のニーズを第2回の題材に反映</t>
        </is>
      </c>
      <c r="H20" s="4" t="n"/>
      <c r="I20" s="5" t="n"/>
    </row>
    <row r="22">
      <c r="B22" s="6" t="inlineStr">
        <is>
          <t>スケジュール（開始 13:00 ／ ⏭＝時間が押した場合に飛ばす・圧縮する箇所）</t>
        </is>
      </c>
      <c r="C22" s="4" t="n"/>
      <c r="D22" s="4" t="n"/>
      <c r="E22" s="4" t="n"/>
      <c r="F22" s="4" t="n"/>
      <c r="G22" s="4" t="n"/>
      <c r="H22" s="4" t="n"/>
      <c r="I22" s="5" t="n"/>
    </row>
    <row r="23" ht="28" customHeight="1">
      <c r="B23" s="7" t="inlineStr">
        <is>
          <t>終了時刻</t>
        </is>
      </c>
      <c r="C23" s="7" t="inlineStr">
        <is>
          <t>所要
(分)</t>
        </is>
      </c>
      <c r="D23" s="7" t="inlineStr">
        <is>
          <t>まとまり</t>
        </is>
      </c>
      <c r="E23" s="7" t="inlineStr">
        <is>
          <t>関連
目標</t>
        </is>
      </c>
      <c r="F23" s="7" t="inlineStr">
        <is>
          <t>担当</t>
        </is>
      </c>
      <c r="G23" s="7" t="inlineStr">
        <is>
          <t>構成／
ガニェ</t>
        </is>
      </c>
      <c r="H23" s="7" t="inlineStr">
        <is>
          <t>内容・方法（スライド番号・Slido・ワーク）</t>
        </is>
      </c>
      <c r="I23" s="7" t="inlineStr">
        <is>
          <t>参加者の活動</t>
        </is>
      </c>
    </row>
    <row r="24">
      <c r="B24" s="8" t="inlineStr">
        <is>
          <t>■ オープニング（13:00–13:10）</t>
        </is>
      </c>
      <c r="C24" s="4" t="n"/>
      <c r="D24" s="4" t="n"/>
      <c r="E24" s="4" t="n"/>
      <c r="F24" s="4" t="n"/>
      <c r="G24" s="4" t="n"/>
      <c r="H24" s="4" t="n"/>
      <c r="I24" s="5" t="n"/>
    </row>
    <row r="25" ht="28" customHeight="1">
      <c r="B25" s="9">
        <f>TIME(13,0,0)+TIME(0,C25,0)</f>
        <v/>
      </c>
      <c r="C25" s="10" t="n">
        <v>3</v>
      </c>
      <c r="D25" s="11" t="inlineStr">
        <is>
          <t>イントロ</t>
        </is>
      </c>
      <c r="E25" s="12" t="inlineStr">
        <is>
          <t>－</t>
        </is>
      </c>
      <c r="F25" s="12" t="inlineStr">
        <is>
          <t>田川</t>
        </is>
      </c>
      <c r="G25" s="13" t="inlineStr">
        <is>
          <t>導入／①注意喚起</t>
        </is>
      </c>
      <c r="H25" s="14" t="inlineStr">
        <is>
          <t>表紙・自己紹介・いま取り組んでいること（sl1–3）：挨拶、「禁止か容認かの二択ではない」の宣言、理学→民間→教育のキャリアと『Teaching with AI』翻訳</t>
        </is>
      </c>
      <c r="I25" s="14" t="inlineStr">
        <is>
          <t>聞く</t>
        </is>
      </c>
    </row>
    <row r="26" ht="28" customHeight="1">
      <c r="B26" s="9">
        <f>B25+TIME(0,C26,0)</f>
        <v/>
      </c>
      <c r="C26" s="10" t="n">
        <v>3</v>
      </c>
      <c r="D26" s="11" t="inlineStr">
        <is>
          <t>イントロ</t>
        </is>
      </c>
      <c r="E26" s="12" t="inlineStr">
        <is>
          <t>全て</t>
        </is>
      </c>
      <c r="F26" s="12" t="inlineStr">
        <is>
          <t>田川</t>
        </is>
      </c>
      <c r="G26" s="13" t="inlineStr">
        <is>
          <t>導入／②目標通知</t>
        </is>
      </c>
      <c r="H26" s="14" t="inlineStr">
        <is>
          <t>本日の目標・3回シリーズの位置づけ・グランドルール3K（sl4–6）</t>
        </is>
      </c>
      <c r="I26" s="14" t="inlineStr">
        <is>
          <t>聞く</t>
        </is>
      </c>
    </row>
    <row r="27" ht="28" customHeight="1">
      <c r="B27" s="9">
        <f>B26+TIME(0,C27,0)</f>
        <v/>
      </c>
      <c r="C27" s="10" t="n">
        <v>4</v>
      </c>
      <c r="D27" s="11" t="inlineStr">
        <is>
          <t>事前把握</t>
        </is>
      </c>
      <c r="E27" s="12" t="inlineStr">
        <is>
          <t>②⑤</t>
        </is>
      </c>
      <c r="F27" s="12" t="inlineStr">
        <is>
          <t>田川</t>
        </is>
      </c>
      <c r="G27" s="13" t="inlineStr">
        <is>
          <t>導入／③前提確認</t>
        </is>
      </c>
      <c r="H27" s="14" t="inlineStr">
        <is>
          <t>Slido接続（sl7、コード make-ai1）＋最初のアンケート（sl8）【Slido 0-1 何ができそうか／0-2 影響／0-3 期待】 ⏭0-1講評・0-3読み上げを省略可</t>
        </is>
      </c>
      <c r="I27" s="14" t="inlineStr">
        <is>
          <t>Slidoに回答</t>
        </is>
      </c>
    </row>
    <row r="28">
      <c r="B28" s="8" t="inlineStr">
        <is>
          <t>■ Session 1｜関わり方・文脈づくり（13:10–13:35）</t>
        </is>
      </c>
      <c r="C28" s="4" t="n"/>
      <c r="D28" s="4" t="n"/>
      <c r="E28" s="4" t="n"/>
      <c r="F28" s="4" t="n"/>
      <c r="G28" s="4" t="n"/>
      <c r="H28" s="4" t="n"/>
      <c r="I28" s="5" t="n"/>
    </row>
    <row r="29" ht="28" customHeight="1">
      <c r="B29" s="9">
        <f>B27+TIME(0,C29,0)</f>
        <v/>
      </c>
      <c r="C29" s="10" t="n">
        <v>2</v>
      </c>
      <c r="D29" s="11" t="inlineStr">
        <is>
          <t>S1導入</t>
        </is>
      </c>
      <c r="E29" s="12" t="inlineStr">
        <is>
          <t>①</t>
        </is>
      </c>
      <c r="F29" s="12" t="inlineStr">
        <is>
          <t>田川</t>
        </is>
      </c>
      <c r="G29" s="13" t="inlineStr">
        <is>
          <t>導入／①注意喚起</t>
        </is>
      </c>
      <c r="H29" s="14" t="inlineStr">
        <is>
          <t>SESSION扉・問いの提示（sl9–10）「学生にどう関わってほしいか」を頭の片隅に</t>
        </is>
      </c>
      <c r="I29" s="14" t="inlineStr">
        <is>
          <t>問いを考える</t>
        </is>
      </c>
    </row>
    <row r="30" ht="28" customHeight="1">
      <c r="B30" s="9">
        <f>B29+TIME(0,C30,0)</f>
        <v/>
      </c>
      <c r="C30" s="10" t="n">
        <v>5</v>
      </c>
      <c r="D30" s="11" t="inlineStr">
        <is>
          <t>仕組み</t>
        </is>
      </c>
      <c r="E30" s="12" t="inlineStr">
        <is>
          <t>②</t>
        </is>
      </c>
      <c r="F30" s="12" t="inlineStr">
        <is>
          <t>田川</t>
        </is>
      </c>
      <c r="G30" s="13" t="inlineStr">
        <is>
          <t>展開／④新事項</t>
        </is>
      </c>
      <c r="H30" s="14" t="inlineStr">
        <is>
          <t>AIの分類・全体像・機械学習・ニューラルネット・生成AI・学習と推論・『それっぽさ』の原理（sl11–18） ⏭sl13/16は圧縮台詞あり</t>
        </is>
      </c>
      <c r="I30" s="14" t="inlineStr">
        <is>
          <t>聞く</t>
        </is>
      </c>
    </row>
    <row r="31" ht="28" customHeight="1">
      <c r="B31" s="9">
        <f>B30+TIME(0,C31,0)</f>
        <v/>
      </c>
      <c r="C31" s="10" t="n">
        <v>4</v>
      </c>
      <c r="D31" s="11" t="inlineStr">
        <is>
          <t>リスク</t>
        </is>
      </c>
      <c r="E31" s="12" t="inlineStr">
        <is>
          <t>②</t>
        </is>
      </c>
      <c r="F31" s="12" t="inlineStr">
        <is>
          <t>田川</t>
        </is>
      </c>
      <c r="G31" s="13" t="inlineStr">
        <is>
          <t>展開／④新事項</t>
        </is>
      </c>
      <c r="H31" s="14" t="inlineStr">
        <is>
          <t>仕組みから来る懸念3点（sl19）→ハルシネーション実例（sl20）→バイアス画像（sl21）→機密・不動産の事故例（sl22）</t>
        </is>
      </c>
      <c r="I31" s="14" t="inlineStr">
        <is>
          <t>聞く</t>
        </is>
      </c>
    </row>
    <row r="32" ht="28" customHeight="1">
      <c r="B32" s="9">
        <f>B31+TIME(0,C32,0)</f>
        <v/>
      </c>
      <c r="C32" s="10" t="n">
        <v>2</v>
      </c>
      <c r="D32" s="11" t="inlineStr">
        <is>
          <t>誠実性</t>
        </is>
      </c>
      <c r="E32" s="12" t="inlineStr">
        <is>
          <t>①②</t>
        </is>
      </c>
      <c r="F32" s="12" t="inlineStr">
        <is>
          <t>田川</t>
        </is>
      </c>
      <c r="G32" s="13" t="inlineStr">
        <is>
          <t>展開／④新事項</t>
        </is>
      </c>
      <c r="H32" s="14" t="inlineStr">
        <is>
          <t>学生の自己判断（RPGファストトラベルの比喩、sl23）・学問的誠実性6つの価値（sl24） ⏭sl25[参考]研究制限は一言で通過</t>
        </is>
      </c>
      <c r="I32" s="14" t="inlineStr">
        <is>
          <t>聞く</t>
        </is>
      </c>
    </row>
    <row r="33" ht="28" customHeight="1">
      <c r="B33" s="9">
        <f>B32+TIME(0,C33,0)</f>
        <v/>
      </c>
      <c r="C33" s="10" t="n">
        <v>3</v>
      </c>
      <c r="D33" s="11" t="inlineStr">
        <is>
          <t>文脈づくり</t>
        </is>
      </c>
      <c r="E33" s="12" t="inlineStr">
        <is>
          <t>①</t>
        </is>
      </c>
      <c r="F33" s="12" t="inlineStr">
        <is>
          <t>田川</t>
        </is>
      </c>
      <c r="G33" s="13" t="inlineStr">
        <is>
          <t>展開／④⑤指針</t>
        </is>
      </c>
      <c r="H33" s="14" t="inlineStr">
        <is>
          <t>関わり方2つの文脈（sl26）・活用領域データ36%（sl27）・放置か禁止か（sl28）・正しいマネジメント3実践＝ポリシー/透明性/価値を語る（sl29）</t>
        </is>
      </c>
      <c r="I33" s="14" t="inlineStr">
        <is>
          <t>聞く</t>
        </is>
      </c>
    </row>
    <row r="34" ht="28" customHeight="1">
      <c r="B34" s="9">
        <f>B33+TIME(0,C34,0)</f>
        <v/>
      </c>
      <c r="C34" s="10" t="n">
        <v>2</v>
      </c>
      <c r="D34" s="11" t="inlineStr">
        <is>
          <t>実践共有</t>
        </is>
      </c>
      <c r="E34" s="12" t="inlineStr">
        <is>
          <t>①</t>
        </is>
      </c>
      <c r="F34" s="12" t="inlineStr">
        <is>
          <t>田川</t>
        </is>
      </c>
      <c r="G34" s="13" t="inlineStr">
        <is>
          <t>展開／⑦FB</t>
        </is>
      </c>
      <c r="H34" s="14" t="inlineStr">
        <is>
          <t>千葉大での実践3つ＋学生の声（sl30）＋【Slido 1-1 現状認識／1-2 理想の文脈／1-3 方法】（sl31） ⏭1-1飛ばし可</t>
        </is>
      </c>
      <c r="I34" s="14" t="inlineStr">
        <is>
          <t>Slidoに回答</t>
        </is>
      </c>
    </row>
    <row r="35" ht="28" customHeight="1">
      <c r="B35" s="9">
        <f>B34+TIME(0,C35,0)</f>
        <v/>
      </c>
      <c r="C35" s="10" t="n">
        <v>7</v>
      </c>
      <c r="D35" s="11" t="inlineStr">
        <is>
          <t>ワーク①</t>
        </is>
      </c>
      <c r="E35" s="12" t="inlineStr">
        <is>
          <t>①</t>
        </is>
      </c>
      <c r="F35" s="12" t="inlineStr">
        <is>
          <t>全員</t>
        </is>
      </c>
      <c r="G35" s="13" t="inlineStr">
        <is>
          <t>展開／⑥練習</t>
        </is>
      </c>
      <c r="H35" s="14" t="inlineStr">
        <is>
          <t>Think-Pair-Share（sl32）：Think2分→Pair3分→シート記入・共有2分。「科目名／関わり方／なぜ」の3列 ⏭Pair省略で5分に短縮可</t>
        </is>
      </c>
      <c r="I35" s="14" t="inlineStr">
        <is>
          <t>個人思考→ペア対話→シート記入</t>
        </is>
      </c>
    </row>
    <row r="36">
      <c r="B36" s="8" t="inlineStr">
        <is>
          <t>■ Session 2｜業務活用（13:35–14:00）</t>
        </is>
      </c>
      <c r="C36" s="4" t="n"/>
      <c r="D36" s="4" t="n"/>
      <c r="E36" s="4" t="n"/>
      <c r="F36" s="4" t="n"/>
      <c r="G36" s="4" t="n"/>
      <c r="H36" s="4" t="n"/>
      <c r="I36" s="5" t="n"/>
    </row>
    <row r="37" ht="28" customHeight="1">
      <c r="B37" s="9">
        <f>B35+TIME(0,C37,0)</f>
        <v/>
      </c>
      <c r="C37" s="10" t="n">
        <v>3</v>
      </c>
      <c r="D37" s="11" t="inlineStr">
        <is>
          <t>安全なAI</t>
        </is>
      </c>
      <c r="E37" s="12" t="inlineStr">
        <is>
          <t>③</t>
        </is>
      </c>
      <c r="F37" s="12" t="inlineStr">
        <is>
          <t>田川</t>
        </is>
      </c>
      <c r="G37" s="13" t="inlineStr">
        <is>
          <t>展開／④新事項</t>
        </is>
      </c>
      <c r="H37" s="14" t="inlineStr">
        <is>
          <t>SESSION扉（sl33）・学校版/組織版の違い＝学習に使われない・FERPA/COPPA（sl34）・オプトアウト確認の習慣（sl35）</t>
        </is>
      </c>
      <c r="I37" s="14" t="inlineStr">
        <is>
          <t>聞く</t>
        </is>
      </c>
    </row>
    <row r="38" ht="28" customHeight="1">
      <c r="B38" s="9">
        <f>B37+TIME(0,C38,0)</f>
        <v/>
      </c>
      <c r="C38" s="10" t="n">
        <v>3</v>
      </c>
      <c r="D38" s="11" t="inlineStr">
        <is>
          <t>道具と型</t>
        </is>
      </c>
      <c r="E38" s="12" t="inlineStr">
        <is>
          <t>③</t>
        </is>
      </c>
      <c r="F38" s="12" t="inlineStr">
        <is>
          <t>田川</t>
        </is>
      </c>
      <c r="G38" s="13" t="inlineStr">
        <is>
          <t>展開／④新事項</t>
        </is>
      </c>
      <c r="H38" s="14" t="inlineStr">
        <is>
          <t>使える3つの道具＝Gemini/NotebookLM/Studio（sl36）・プロンプト4要素＝ペルソナ/タスク/背景/形式（sl37）</t>
        </is>
      </c>
      <c r="I38" s="14" t="inlineStr">
        <is>
          <t>聞く</t>
        </is>
      </c>
    </row>
    <row r="39" ht="42" customHeight="1">
      <c r="B39" s="9">
        <f>B38+TIME(0,C39,0)</f>
        <v/>
      </c>
      <c r="C39" s="10" t="n">
        <v>7</v>
      </c>
      <c r="D39" s="11" t="inlineStr">
        <is>
          <t>活用ケース</t>
        </is>
      </c>
      <c r="E39" s="12" t="inlineStr">
        <is>
          <t>③</t>
        </is>
      </c>
      <c r="F39" s="12" t="inlineStr">
        <is>
          <t>田川</t>
        </is>
      </c>
      <c r="G39" s="13" t="inlineStr">
        <is>
          <t>展開／④例示</t>
        </is>
      </c>
      <c r="H39" s="14" t="inlineStr">
        <is>
          <t>ケース①Chrome連携【動画30秒】→⑤アプリ連携→⑦LearnLM→試験対策→⑧Gems【動画30秒】→NotebookLM・マニュアルBot【動画30秒】・教材利用（sl38–49） ⏭ケース②③④⑥（sl39–41, 43）は飛ばし可</t>
        </is>
      </c>
      <c r="I39" s="14" t="inlineStr">
        <is>
          <t>聞く・デモを見る</t>
        </is>
      </c>
    </row>
    <row r="40" ht="28" customHeight="1">
      <c r="B40" s="9">
        <f>B39+TIME(0,C40,0)</f>
        <v/>
      </c>
      <c r="C40" s="10" t="n">
        <v>2</v>
      </c>
      <c r="D40" s="11" t="inlineStr">
        <is>
          <t>自動化・型</t>
        </is>
      </c>
      <c r="E40" s="12" t="inlineStr">
        <is>
          <t>③</t>
        </is>
      </c>
      <c r="F40" s="12" t="inlineStr">
        <is>
          <t>田川</t>
        </is>
      </c>
      <c r="G40" s="13" t="inlineStr">
        <is>
          <t>展開／⑤指針</t>
        </is>
      </c>
      <c r="H40" s="14" t="inlineStr">
        <is>
          <t>Workspace Studio概要のみ（sl50） ⏭sl51利用例は飛ばす → OODAループ「評価できる範囲で使う」（sl52）</t>
        </is>
      </c>
      <c r="I40" s="14" t="inlineStr">
        <is>
          <t>聞く</t>
        </is>
      </c>
    </row>
    <row r="41" ht="28" customHeight="1">
      <c r="B41" s="9">
        <f>B40+TIME(0,C41,0)</f>
        <v/>
      </c>
      <c r="C41" s="10" t="n">
        <v>8</v>
      </c>
      <c r="D41" s="11" t="inlineStr">
        <is>
          <t>体験ワーク</t>
        </is>
      </c>
      <c r="E41" s="12" t="inlineStr">
        <is>
          <t>③⑤</t>
        </is>
      </c>
      <c r="F41" s="12" t="inlineStr">
        <is>
          <t>全員</t>
        </is>
      </c>
      <c r="G41" s="13" t="inlineStr">
        <is>
          <t>展開／⑥練習⑦FB</t>
        </is>
      </c>
      <c r="H41" s="14" t="inlineStr">
        <is>
          <t>GeminiとNotebookLMのハンズオン（sl53）：質問1つ→資料読み込み→「便利/怪しい」を声に出す。OODAで再依頼を体感 ⏭6分に短縮可</t>
        </is>
      </c>
      <c r="I41" s="14" t="inlineStr">
        <is>
          <t>ペアで実操作・試行錯誤</t>
        </is>
      </c>
    </row>
    <row r="42" ht="28" customHeight="1">
      <c r="B42" s="9">
        <f>B41+TIME(0,C42,0)</f>
        <v/>
      </c>
      <c r="C42" s="10" t="n">
        <v>2</v>
      </c>
      <c r="D42" s="11" t="inlineStr">
        <is>
          <t>振り返り</t>
        </is>
      </c>
      <c r="E42" s="12" t="inlineStr">
        <is>
          <t>③⑤</t>
        </is>
      </c>
      <c r="F42" s="12" t="inlineStr">
        <is>
          <t>田川</t>
        </is>
      </c>
      <c r="G42" s="13" t="inlineStr">
        <is>
          <t>まとめ／⑧成果確認</t>
        </is>
      </c>
      <c r="H42" s="14" t="inlineStr">
        <is>
          <t>【Slido 2-1 頻度／2-2 ニーズ／2-3 手応え】（sl54） ⏭2-1飛ばし可。2-2は第2回の題材に</t>
        </is>
      </c>
      <c r="I42" s="14" t="inlineStr">
        <is>
          <t>Slidoに回答</t>
        </is>
      </c>
    </row>
    <row r="43">
      <c r="B43" s="8" t="inlineStr">
        <is>
          <t>■ Session 3｜授業・評価設計（14:00–14:25）</t>
        </is>
      </c>
      <c r="C43" s="4" t="n"/>
      <c r="D43" s="4" t="n"/>
      <c r="E43" s="4" t="n"/>
      <c r="F43" s="4" t="n"/>
      <c r="G43" s="4" t="n"/>
      <c r="H43" s="4" t="n"/>
      <c r="I43" s="5" t="n"/>
    </row>
    <row r="44" ht="28" customHeight="1">
      <c r="B44" s="9">
        <f>B42+TIME(0,C44,0)</f>
        <v/>
      </c>
      <c r="C44" s="10" t="n">
        <v>2</v>
      </c>
      <c r="D44" s="11" t="inlineStr">
        <is>
          <t>S3導入</t>
        </is>
      </c>
      <c r="E44" s="12" t="inlineStr">
        <is>
          <t>④</t>
        </is>
      </c>
      <c r="F44" s="12" t="inlineStr">
        <is>
          <t>田川</t>
        </is>
      </c>
      <c r="G44" s="13" t="inlineStr">
        <is>
          <t>導入／①注意喚起</t>
        </is>
      </c>
      <c r="H44" s="14" t="inlineStr">
        <is>
          <t>SESSION扉（sl55）・問い「AIが答えを出せる時代の大学の価値とは」（sl56）</t>
        </is>
      </c>
      <c r="I44" s="14" t="inlineStr">
        <is>
          <t>問いを考える</t>
        </is>
      </c>
    </row>
    <row r="45" ht="28" customHeight="1">
      <c r="B45" s="9">
        <f>B44+TIME(0,C45,0)</f>
        <v/>
      </c>
      <c r="C45" s="10" t="n">
        <v>3</v>
      </c>
      <c r="D45" s="11" t="inlineStr">
        <is>
          <t>枠組み</t>
        </is>
      </c>
      <c r="E45" s="12" t="inlineStr">
        <is>
          <t>④</t>
        </is>
      </c>
      <c r="F45" s="12" t="inlineStr">
        <is>
          <t>田川</t>
        </is>
      </c>
      <c r="G45" s="13" t="inlineStr">
        <is>
          <t>展開／④新事項</t>
        </is>
      </c>
      <c r="H45" s="14" t="inlineStr">
        <is>
          <t>Bloom学習目標分類×AI（sl57）：記憶〜創造の6段階、評価・創造は人×AI。不動産の例（物件比較・活用提案） ※今日の核・ゆっくり</t>
        </is>
      </c>
      <c r="I45" s="14" t="inlineStr">
        <is>
          <t>聞く</t>
        </is>
      </c>
    </row>
    <row r="46" ht="28" customHeight="1">
      <c r="B46" s="9">
        <f>B45+TIME(0,C46,0)</f>
        <v/>
      </c>
      <c r="C46" s="10" t="n">
        <v>4</v>
      </c>
      <c r="D46" s="11" t="inlineStr">
        <is>
          <t>守りの設計</t>
        </is>
      </c>
      <c r="E46" s="12" t="inlineStr">
        <is>
          <t>④</t>
        </is>
      </c>
      <c r="F46" s="12" t="inlineStr">
        <is>
          <t>田川</t>
        </is>
      </c>
      <c r="G46" s="13" t="inlineStr">
        <is>
          <t>展開／④新事項</t>
        </is>
      </c>
      <c r="H46" s="14" t="inlineStr">
        <is>
          <t>思考の過程を明け渡さない・足場かけ/はずし（sl58）・既存評価への影響マトリクス＝筆記/論述/レポートが赤枠（sl59）</t>
        </is>
      </c>
      <c r="I46" s="14" t="inlineStr">
        <is>
          <t>聞く</t>
        </is>
      </c>
    </row>
    <row r="47" ht="28" customHeight="1">
      <c r="B47" s="9">
        <f>B46+TIME(0,C47,0)</f>
        <v/>
      </c>
      <c r="C47" s="10" t="n">
        <v>4</v>
      </c>
      <c r="D47" s="11" t="inlineStr">
        <is>
          <t>ポリシー</t>
        </is>
      </c>
      <c r="E47" s="12" t="inlineStr">
        <is>
          <t>④</t>
        </is>
      </c>
      <c r="F47" s="12" t="inlineStr">
        <is>
          <t>田川</t>
        </is>
      </c>
      <c r="G47" s="13" t="inlineStr">
        <is>
          <t>展開／④⑤指針</t>
        </is>
      </c>
      <c r="H47" s="14" t="inlineStr">
        <is>
          <t>MIT科目改善フロー4ステップ（sl60）・Bowen&amp;Watson 7つの問い（sl61）・そのまま使える文例（sl62） ⏭sl63[参考]6軸は一言で通過</t>
        </is>
      </c>
      <c r="I47" s="14" t="inlineStr">
        <is>
          <t>聞く</t>
        </is>
      </c>
    </row>
    <row r="48" ht="28" customHeight="1">
      <c r="B48" s="9">
        <f>B47+TIME(0,C48,0)</f>
        <v/>
      </c>
      <c r="C48" s="10" t="n">
        <v>4</v>
      </c>
      <c r="D48" s="11" t="inlineStr">
        <is>
          <t>攻めの設計</t>
        </is>
      </c>
      <c r="E48" s="12" t="inlineStr">
        <is>
          <t>④</t>
        </is>
      </c>
      <c r="F48" s="12" t="inlineStr">
        <is>
          <t>田川</t>
        </is>
      </c>
      <c r="G48" s="13" t="inlineStr">
        <is>
          <t>展開／④新事項</t>
        </is>
      </c>
      <c r="H48" s="14" t="inlineStr">
        <is>
          <t>真正な課題・メリル5原理・指令書＋AI伴走（sl64）・不動産教育×生成AIの文献＝都市計画/シリアスゲーム/参加型WS（sl65）</t>
        </is>
      </c>
      <c r="I48" s="14" t="inlineStr">
        <is>
          <t>聞く</t>
        </is>
      </c>
    </row>
    <row r="49" ht="28" customHeight="1">
      <c r="B49" s="9">
        <f>B48+TIME(0,C49,0)</f>
        <v/>
      </c>
      <c r="C49" s="10" t="n">
        <v>4</v>
      </c>
      <c r="D49" s="11" t="inlineStr">
        <is>
          <t>個別最適</t>
        </is>
      </c>
      <c r="E49" s="12" t="inlineStr">
        <is>
          <t>④</t>
        </is>
      </c>
      <c r="F49" s="12" t="inlineStr">
        <is>
          <t>田川</t>
        </is>
      </c>
      <c r="G49" s="13" t="inlineStr">
        <is>
          <t>展開／④新事項</t>
        </is>
      </c>
      <c r="H49" s="14" t="inlineStr">
        <is>
          <t>Dunlosky効果的学習法＝実力テスト/分散学習をAIが伴走（sl66）・Bloom 2シグマ問題＝偏差値+20（sl67）・未来の可能性3点（sl68）</t>
        </is>
      </c>
      <c r="I49" s="14" t="inlineStr">
        <is>
          <t>聞く</t>
        </is>
      </c>
    </row>
    <row r="50" ht="28" customHeight="1">
      <c r="B50" s="9">
        <f>B49+TIME(0,C50,0)</f>
        <v/>
      </c>
      <c r="C50" s="10" t="n">
        <v>2</v>
      </c>
      <c r="D50" s="11" t="inlineStr">
        <is>
          <t>役割の変化</t>
        </is>
      </c>
      <c r="E50" s="12" t="inlineStr">
        <is>
          <t>④</t>
        </is>
      </c>
      <c r="F50" s="12" t="inlineStr">
        <is>
          <t>田川</t>
        </is>
      </c>
      <c r="G50" s="13" t="inlineStr">
        <is>
          <t>まとめ／⑤指針</t>
        </is>
      </c>
      <c r="H50" s="14" t="inlineStr">
        <is>
          <t>教員の役割＝ファシリテーターへ・Teaching+Coaching（sl69） ⏭sl70ワーク③は「第2回のお楽しみ」台詞で次回送り（時間があれば10分実施）</t>
        </is>
      </c>
      <c r="I50" s="14" t="inlineStr">
        <is>
          <t>聞く</t>
        </is>
      </c>
    </row>
    <row r="51" ht="28" customHeight="1">
      <c r="B51" s="9">
        <f>B50+TIME(0,C51,0)</f>
        <v/>
      </c>
      <c r="C51" s="10" t="n">
        <v>2</v>
      </c>
      <c r="D51" s="11" t="inlineStr">
        <is>
          <t>振り返り</t>
        </is>
      </c>
      <c r="E51" s="12" t="inlineStr">
        <is>
          <t>④⑤</t>
        </is>
      </c>
      <c r="F51" s="12" t="inlineStr">
        <is>
          <t>田川</t>
        </is>
      </c>
      <c r="G51" s="13" t="inlineStr">
        <is>
          <t>まとめ／⑧成果確認</t>
        </is>
      </c>
      <c r="H51" s="14" t="inlineStr">
        <is>
          <t>【Slido 3-1 手応え／3-2 共有（ワーク③実施時のみ）／3-3 可能性＝0-2と前後比較】（sl71）</t>
        </is>
      </c>
      <c r="I51" s="14" t="inlineStr">
        <is>
          <t>Slidoに回答</t>
        </is>
      </c>
    </row>
    <row r="52">
      <c r="B52" s="8" t="inlineStr">
        <is>
          <t>■ クロージング（14:25–14:30）</t>
        </is>
      </c>
      <c r="C52" s="4" t="n"/>
      <c r="D52" s="4" t="n"/>
      <c r="E52" s="4" t="n"/>
      <c r="F52" s="4" t="n"/>
      <c r="G52" s="4" t="n"/>
      <c r="H52" s="4" t="n"/>
      <c r="I52" s="5" t="n"/>
    </row>
    <row r="53" ht="28" customHeight="1">
      <c r="B53" s="9">
        <f>B51+TIME(0,C53,0)</f>
        <v/>
      </c>
      <c r="C53" s="10" t="n">
        <v>2</v>
      </c>
      <c r="D53" s="11" t="inlineStr">
        <is>
          <t>まとめ</t>
        </is>
      </c>
      <c r="E53" s="12" t="inlineStr">
        <is>
          <t>全て</t>
        </is>
      </c>
      <c r="F53" s="12" t="inlineStr">
        <is>
          <t>田川</t>
        </is>
      </c>
      <c r="G53" s="13" t="inlineStr">
        <is>
          <t>まとめ／⑨保持転移</t>
        </is>
      </c>
      <c r="H53" s="14" t="inlineStr">
        <is>
          <t>3テーマの振り返り（sl72）・最初の問いの回収「ご自身の言葉でひとつ持ち帰る」（sl73）</t>
        </is>
      </c>
      <c r="I53" s="14" t="inlineStr">
        <is>
          <t>自分の答えを言葉にする</t>
        </is>
      </c>
    </row>
    <row r="54" ht="28" customHeight="1">
      <c r="B54" s="9">
        <f>B53+TIME(0,C54,0)</f>
        <v/>
      </c>
      <c r="C54" s="10" t="n">
        <v>2</v>
      </c>
      <c r="D54" s="11" t="inlineStr">
        <is>
          <t>案内・Q&amp;A</t>
        </is>
      </c>
      <c r="E54" s="12" t="inlineStr">
        <is>
          <t>⑤</t>
        </is>
      </c>
      <c r="F54" s="12" t="inlineStr">
        <is>
          <t>田川</t>
        </is>
      </c>
      <c r="G54" s="13" t="inlineStr">
        <is>
          <t>まとめ／⑨保持転移</t>
        </is>
      </c>
      <c r="H54" s="14" t="inlineStr">
        <is>
          <t>次回案内＝第2回つくってみる/第3回続ける・ステッカー配布・資料後日共有（sl74）・Q&amp;A（sl75）</t>
        </is>
      </c>
      <c r="I54" s="14" t="inlineStr">
        <is>
          <t>質問する</t>
        </is>
      </c>
    </row>
    <row r="55" ht="28" customHeight="1">
      <c r="B55" s="9">
        <f>B54+TIME(0,C55,0)</f>
        <v/>
      </c>
      <c r="C55" s="10" t="n">
        <v>1</v>
      </c>
      <c r="D55" s="11" t="inlineStr">
        <is>
          <t>開示</t>
        </is>
      </c>
      <c r="E55" s="12" t="inlineStr">
        <is>
          <t>①</t>
        </is>
      </c>
      <c r="F55" s="12" t="inlineStr">
        <is>
          <t>田川</t>
        </is>
      </c>
      <c r="G55" s="13" t="inlineStr">
        <is>
          <t>まとめ／⑨保持転移</t>
        </is>
      </c>
      <c r="H55" s="14" t="inlineStr">
        <is>
          <t>参考文献（sl76–77）・本資料のAI利用開示＝「使ったら開示する」の実践（sl78）・締めの挨拶</t>
        </is>
      </c>
      <c r="I55" s="14" t="inlineStr">
        <is>
          <t>聞く</t>
        </is>
      </c>
    </row>
    <row r="56">
      <c r="B56" s="15">
        <f>B55</f>
        <v/>
      </c>
      <c r="C56" s="16">
        <f>SUM(C25:C55)</f>
        <v/>
      </c>
      <c r="D56" s="6" t="inlineStr">
        <is>
          <t>合計（14:30 終了 → 以降は個別質問・雑談タイム）</t>
        </is>
      </c>
      <c r="E56" s="17" t="n"/>
      <c r="F56" s="17" t="n"/>
      <c r="G56" s="17" t="n"/>
      <c r="H56" s="17" t="n"/>
      <c r="I56" s="17" t="n"/>
    </row>
    <row r="58">
      <c r="B58" s="18" t="inlineStr">
        <is>
          <t>備考：ガニェの9教授事象＝①注意喚起 ②目標通知 ③前提想起 ④新事項提示 ⑤学習の指針 ⑥練習 ⑦フィードバック ⑧成果の確認 ⑨保持と転移。読み上げ原稿は 原稿_第1回.md（飛ばし台詞つき・早口400字/分想定）。</t>
        </is>
      </c>
    </row>
  </sheetData>
  <mergeCells count="31">
    <mergeCell ref="B16:F16"/>
    <mergeCell ref="G13:I13"/>
    <mergeCell ref="G19:I19"/>
    <mergeCell ref="G18:I18"/>
    <mergeCell ref="B22:I22"/>
    <mergeCell ref="B18:F18"/>
    <mergeCell ref="G15:I15"/>
    <mergeCell ref="B43:I43"/>
    <mergeCell ref="B58:I58"/>
    <mergeCell ref="B12:F12"/>
    <mergeCell ref="B52:I52"/>
    <mergeCell ref="G14:I14"/>
    <mergeCell ref="B11:F11"/>
    <mergeCell ref="D56:I56"/>
    <mergeCell ref="G20:I20"/>
    <mergeCell ref="B14:F14"/>
    <mergeCell ref="B8:I8"/>
    <mergeCell ref="B13:F13"/>
    <mergeCell ref="G16:I16"/>
    <mergeCell ref="B19:F19"/>
    <mergeCell ref="B28:I28"/>
    <mergeCell ref="C3:E3"/>
    <mergeCell ref="G12:I12"/>
    <mergeCell ref="G11:I11"/>
    <mergeCell ref="B9:I9"/>
    <mergeCell ref="B20:F20"/>
    <mergeCell ref="B6:I6"/>
    <mergeCell ref="B15:F15"/>
    <mergeCell ref="B24:I24"/>
    <mergeCell ref="B5:I5"/>
    <mergeCell ref="B36:I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2026-07-02T00:28:18Z</dcterms:created>
  <dcterms:modified xmlns:dcterms="http://purl.org/dc/terms/" xmlns:xsi="http://www.w3.org/2001/XMLSchema-instance" xsi:type="dcterms:W3CDTF">2026-07-02T00:28:18Z</dcterms:modified>
</cp:coreProperties>
</file>